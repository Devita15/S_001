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3" state="visible" r:id="rId4"/>
  </sheets>
  <calcPr calcId="171027"/>
</workbook>
</file>

<file path=xl/sharedStrings.xml><?xml version="1.0" encoding="utf-8"?>
<sst xmlns="http://schemas.openxmlformats.org/spreadsheetml/2006/main" count="205" uniqueCount="65">
  <si>
    <t>Landed Cost (Rs/Kg)</t>
  </si>
  <si>
    <t>Fabrication rate</t>
  </si>
  <si>
    <t>RM/KG</t>
  </si>
  <si>
    <t/>
  </si>
  <si>
    <t>rate will be applicable a per current BME</t>
  </si>
  <si>
    <t>ITEM NO.</t>
  </si>
  <si>
    <t>103</t>
  </si>
  <si>
    <t>MATERIAL</t>
  </si>
  <si>
    <t>CORK SHEET 002</t>
  </si>
  <si>
    <t>RM Source</t>
  </si>
  <si>
    <t>New India CT</t>
  </si>
  <si>
    <t>RM TYPE</t>
  </si>
  <si>
    <t>Strip</t>
  </si>
  <si>
    <t>RAW MATERIAL Spec</t>
  </si>
  <si>
    <t>Strip Size</t>
  </si>
  <si>
    <t>Thickness</t>
  </si>
  <si>
    <t>Strip width</t>
  </si>
  <si>
    <t>Pitch</t>
  </si>
  <si>
    <t>No of Cavity</t>
  </si>
  <si>
    <t>Density</t>
  </si>
  <si>
    <t>GROSS Wt/each</t>
  </si>
  <si>
    <t>R.M. REJECTION %</t>
  </si>
  <si>
    <t>GROSS WT. INCL.REJN.</t>
  </si>
  <si>
    <t>NET WT</t>
  </si>
  <si>
    <t>SCRAP WT.</t>
  </si>
  <si>
    <t>ACTUAL SCRAP WT. REALISATION(%)</t>
  </si>
  <si>
    <t>SCRAP WT-ACTUAL REALISATION</t>
  </si>
  <si>
    <t>BASIC RAW MATERIAL RATE</t>
  </si>
  <si>
    <t>GST</t>
  </si>
  <si>
    <t>Transport  Rs / Kg</t>
  </si>
  <si>
    <t>LBT</t>
  </si>
  <si>
    <t>Gross Raw Material Rate</t>
  </si>
  <si>
    <t>GST Set off</t>
  </si>
  <si>
    <t>Net Raw Material Rate</t>
  </si>
  <si>
    <t>BDN qty in kg</t>
  </si>
  <si>
    <t>Qty to be produced</t>
  </si>
  <si>
    <t>SCRAP RATE. ( Rs./Kg.)</t>
  </si>
  <si>
    <t>Effective scrap rate</t>
  </si>
  <si>
    <t>Gross RM Cost</t>
  </si>
  <si>
    <t>Scrap recovery</t>
  </si>
  <si>
    <t>NET RM COST /PC. ( Rs.)</t>
  </si>
  <si>
    <t>ICC Calculation</t>
  </si>
  <si>
    <t>Credit on input material</t>
  </si>
  <si>
    <t>Days</t>
  </si>
  <si>
    <t>WIP / FG Inventory</t>
  </si>
  <si>
    <t>Credit given to L&amp;T</t>
  </si>
  <si>
    <t>Net period for ICC</t>
  </si>
  <si>
    <t>Cost of capital</t>
  </si>
  <si>
    <t>ICC %</t>
  </si>
  <si>
    <t>ICC amount</t>
  </si>
  <si>
    <t>OHP % on MATLAB</t>
  </si>
  <si>
    <t>Net MATL cost</t>
  </si>
  <si>
    <t>Tolling Cost</t>
  </si>
  <si>
    <t>Bending Operation op</t>
  </si>
  <si>
    <t>Total Mfg Cost</t>
  </si>
  <si>
    <t>Rejection on Labour</t>
  </si>
  <si>
    <t>OHP on Labour</t>
  </si>
  <si>
    <t>INSPECTION</t>
  </si>
  <si>
    <t>TOOL MAINTANANCE</t>
  </si>
  <si>
    <t>PACKING/FORWARDING CHARGES</t>
  </si>
  <si>
    <t>Sub-Total</t>
  </si>
  <si>
    <t>Plating Cost Rs /Kg</t>
  </si>
  <si>
    <t>Plating Cost Amount</t>
  </si>
  <si>
    <t>Total Rate (Rs/Ea)</t>
  </si>
  <si>
    <t>Final 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</si>
</sst>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0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64" fontId="0" fillId="2" borderId="1" xfId="0" applyNumberFormat="1" applyFill="1" applyBorder="1"/>
    <xf numFmtId="4" fontId="0" fillId="2" borderId="1" xfId="0" applyNumberFormat="1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1220</v>
      </c>
      <c r="B2" s="1">
        <v>28</v>
      </c>
      <c r="C2" s="2">
        <f>A2+B2</f>
      </c>
      <c r="D2" s="3" t="s">
        <v>4</v>
      </c>
    </row>
    <row r="3" spans="1:4" x14ac:dyDescent="0.25">
      <c r="A3" s="1" t="s">
        <v>3</v>
      </c>
      <c r="B3" s="1" t="s">
        <v>3</v>
      </c>
      <c r="C3" s="1" t="s">
        <v>3</v>
      </c>
      <c r="D3" s="1" t="s">
        <v>3</v>
      </c>
    </row>
    <row r="4" spans="1:4" x14ac:dyDescent="0.25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5">
      <c r="A5" s="1" t="s">
        <v>5</v>
      </c>
      <c r="B5" s="1" t="s">
        <v>3</v>
      </c>
      <c r="C5" s="1" t="s">
        <v>3</v>
      </c>
      <c r="D5" s="4" t="s">
        <v>6</v>
      </c>
    </row>
    <row r="6" spans="1:4" x14ac:dyDescent="0.25">
      <c r="A6" s="5" t="s">
        <v>7</v>
      </c>
      <c r="B6" s="1" t="s">
        <v>3</v>
      </c>
      <c r="C6" s="1" t="s">
        <v>3</v>
      </c>
      <c r="D6" s="1" t="s">
        <v>8</v>
      </c>
    </row>
    <row r="7" spans="1:4" x14ac:dyDescent="0.25">
      <c r="A7" s="5" t="s">
        <v>9</v>
      </c>
      <c r="B7" s="1" t="s">
        <v>3</v>
      </c>
      <c r="C7" s="1" t="s">
        <v>3</v>
      </c>
      <c r="D7" s="1" t="s">
        <v>10</v>
      </c>
    </row>
    <row r="8" spans="1:4" x14ac:dyDescent="0.25">
      <c r="A8" s="5" t="s">
        <v>11</v>
      </c>
      <c r="B8" s="1" t="s">
        <v>3</v>
      </c>
      <c r="C8" s="1" t="s">
        <v>3</v>
      </c>
      <c r="D8" s="1" t="s">
        <v>12</v>
      </c>
    </row>
    <row r="9" spans="1:4" x14ac:dyDescent="0.25">
      <c r="A9" s="1" t="s">
        <v>13</v>
      </c>
      <c r="B9" s="1" t="s">
        <v>3</v>
      </c>
      <c r="C9" s="1" t="s">
        <v>3</v>
      </c>
      <c r="D9" s="1" t="s">
        <v>8</v>
      </c>
    </row>
    <row r="10" spans="1:4" x14ac:dyDescent="0.25">
      <c r="A10" s="1" t="s">
        <v>14</v>
      </c>
      <c r="B10" s="1" t="s">
        <v>3</v>
      </c>
      <c r="C10" s="1" t="s">
        <v>3</v>
      </c>
      <c r="D10" s="1">
        <v>3660</v>
      </c>
    </row>
    <row r="11" spans="1:4" x14ac:dyDescent="0.25">
      <c r="A11" s="1" t="s">
        <v>15</v>
      </c>
      <c r="B11" s="1" t="s">
        <v>3</v>
      </c>
      <c r="C11" s="1" t="s">
        <v>3</v>
      </c>
      <c r="D11" s="1">
        <v>1.6</v>
      </c>
    </row>
    <row r="12" spans="1:4" x14ac:dyDescent="0.25">
      <c r="A12" s="1" t="s">
        <v>16</v>
      </c>
      <c r="B12" s="1" t="s">
        <v>3</v>
      </c>
      <c r="C12" s="1" t="s">
        <v>3</v>
      </c>
      <c r="D12" s="1">
        <v>12</v>
      </c>
    </row>
    <row r="13" spans="1:4" x14ac:dyDescent="0.25">
      <c r="A13" s="1" t="s">
        <v>17</v>
      </c>
      <c r="B13" s="1" t="s">
        <v>3</v>
      </c>
      <c r="C13" s="1" t="s">
        <v>3</v>
      </c>
      <c r="D13" s="2">
        <v>42</v>
      </c>
    </row>
    <row r="14" spans="1:4" x14ac:dyDescent="0.25">
      <c r="A14" s="1" t="s">
        <v>18</v>
      </c>
      <c r="B14" s="1" t="s">
        <v>3</v>
      </c>
      <c r="C14" s="1" t="s">
        <v>3</v>
      </c>
      <c r="D14" s="1">
        <v>1</v>
      </c>
    </row>
    <row r="15" spans="1:4" x14ac:dyDescent="0.25">
      <c r="A15" s="1" t="s">
        <v>19</v>
      </c>
      <c r="B15" s="1" t="s">
        <v>3</v>
      </c>
      <c r="C15" s="1" t="s">
        <v>3</v>
      </c>
      <c r="D15" s="1">
        <v>12</v>
      </c>
    </row>
    <row r="16" spans="1:4" x14ac:dyDescent="0.25">
      <c r="A16" s="1" t="s">
        <v>20</v>
      </c>
      <c r="B16" s="1" t="s">
        <v>3</v>
      </c>
      <c r="C16" s="1" t="s">
        <v>3</v>
      </c>
      <c r="D16" s="6">
        <f>D11*D12*D13*D15*10^-6/D14</f>
      </c>
    </row>
    <row r="17" spans="1:4" x14ac:dyDescent="0.25">
      <c r="A17" s="1" t="s">
        <v>21</v>
      </c>
      <c r="B17" s="1" t="s">
        <v>3</v>
      </c>
      <c r="C17" s="7">
        <v>0.02</v>
      </c>
      <c r="D17" s="1">
        <f>D16*(1+C17)</f>
      </c>
    </row>
    <row r="18" spans="1:4" x14ac:dyDescent="0.25">
      <c r="A18" s="1" t="s">
        <v>22</v>
      </c>
      <c r="B18" s="1" t="s">
        <v>3</v>
      </c>
      <c r="C18" s="1" t="s">
        <v>3</v>
      </c>
      <c r="D18" s="6">
        <f>D16*(1+C17)</f>
      </c>
    </row>
    <row r="19" spans="1:4" x14ac:dyDescent="0.25">
      <c r="A19" s="1" t="s">
        <v>3</v>
      </c>
      <c r="B19" s="1" t="s">
        <v>3</v>
      </c>
      <c r="C19" s="1" t="s">
        <v>3</v>
      </c>
      <c r="D19" s="1" t="s">
        <v>3</v>
      </c>
    </row>
    <row r="20" spans="1:4" x14ac:dyDescent="0.25">
      <c r="A20" s="1" t="s">
        <v>23</v>
      </c>
      <c r="B20" s="1" t="s">
        <v>3</v>
      </c>
      <c r="C20" s="1" t="s">
        <v>3</v>
      </c>
      <c r="D20" s="8">
        <v>0.8263987200000003</v>
      </c>
    </row>
    <row r="21" spans="1:4" x14ac:dyDescent="0.25">
      <c r="A21" s="1" t="s">
        <v>24</v>
      </c>
      <c r="B21" s="1" t="s">
        <v>3</v>
      </c>
      <c r="C21" s="1" t="s">
        <v>3</v>
      </c>
      <c r="D21" s="6">
        <f>D18-D20</f>
      </c>
    </row>
    <row r="22" spans="1:4" x14ac:dyDescent="0.25">
      <c r="A22" s="1" t="s">
        <v>25</v>
      </c>
      <c r="B22" s="1" t="s">
        <v>3</v>
      </c>
      <c r="C22" s="7">
        <v>0.85</v>
      </c>
      <c r="D22" s="1">
        <f>D21*C22</f>
      </c>
    </row>
    <row r="23" spans="1:4" x14ac:dyDescent="0.25">
      <c r="A23" s="1" t="s">
        <v>26</v>
      </c>
      <c r="B23" s="1" t="s">
        <v>3</v>
      </c>
      <c r="C23" s="1" t="s">
        <v>3</v>
      </c>
      <c r="D23" s="6">
        <f>D21*C22</f>
      </c>
    </row>
    <row r="24" spans="1:4" x14ac:dyDescent="0.25">
      <c r="A24" s="1" t="s">
        <v>3</v>
      </c>
      <c r="B24" s="1" t="s">
        <v>3</v>
      </c>
      <c r="C24" s="1" t="s">
        <v>3</v>
      </c>
      <c r="D24" s="1" t="s">
        <v>3</v>
      </c>
    </row>
    <row r="25" spans="1:4" x14ac:dyDescent="0.25">
      <c r="A25" s="1" t="s">
        <v>27</v>
      </c>
      <c r="B25" s="1" t="s">
        <v>3</v>
      </c>
      <c r="C25" s="1" t="s">
        <v>3</v>
      </c>
      <c r="D25" s="9">
        <f>C2</f>
      </c>
    </row>
    <row r="26" spans="1:4" x14ac:dyDescent="0.25">
      <c r="A26" s="1" t="s">
        <v>28</v>
      </c>
      <c r="B26" s="1" t="s">
        <v>3</v>
      </c>
      <c r="C26" s="7">
        <v>1</v>
      </c>
      <c r="D26" s="1">
        <f>D25*C26</f>
      </c>
    </row>
    <row r="27" spans="1:4" x14ac:dyDescent="0.25">
      <c r="A27" s="1" t="s">
        <v>3</v>
      </c>
      <c r="B27" s="1" t="s">
        <v>3</v>
      </c>
      <c r="C27" s="1" t="s">
        <v>3</v>
      </c>
      <c r="D27" s="10">
        <f>D25*C26</f>
      </c>
    </row>
    <row r="28" spans="1:4" x14ac:dyDescent="0.25">
      <c r="A28" s="1" t="s">
        <v>3</v>
      </c>
      <c r="B28" s="1" t="s">
        <v>3</v>
      </c>
      <c r="C28" s="7">
        <v>0</v>
      </c>
      <c r="D28" s="1">
        <f>(D25+D27)*C28</f>
      </c>
    </row>
    <row r="29" spans="1:4" x14ac:dyDescent="0.25">
      <c r="A29" s="1" t="s">
        <v>29</v>
      </c>
      <c r="B29" s="1" t="s">
        <v>3</v>
      </c>
      <c r="C29" s="10">
        <v>1.5</v>
      </c>
      <c r="D29" s="1" t="s">
        <v>3</v>
      </c>
    </row>
    <row r="30" spans="1:4" x14ac:dyDescent="0.25">
      <c r="A30" s="1" t="s">
        <v>30</v>
      </c>
      <c r="B30" s="1" t="s">
        <v>3</v>
      </c>
      <c r="C30" s="1" t="s">
        <v>3</v>
      </c>
      <c r="D30" s="1" t="s">
        <v>3</v>
      </c>
    </row>
    <row r="31" spans="1:4" x14ac:dyDescent="0.25">
      <c r="A31" s="1" t="s">
        <v>31</v>
      </c>
      <c r="B31" s="1" t="s">
        <v>3</v>
      </c>
      <c r="C31" s="1" t="s">
        <v>3</v>
      </c>
      <c r="D31" s="10">
        <f>D25+D27+D29+D30</f>
      </c>
    </row>
    <row r="32" spans="1:4" x14ac:dyDescent="0.25">
      <c r="A32" s="1" t="s">
        <v>32</v>
      </c>
      <c r="B32" s="1" t="s">
        <v>3</v>
      </c>
      <c r="C32" s="1" t="s">
        <v>3</v>
      </c>
      <c r="D32" s="10">
        <f>-D27</f>
      </c>
    </row>
    <row r="33" spans="1:4" x14ac:dyDescent="0.25">
      <c r="A33" s="1" t="s">
        <v>3</v>
      </c>
      <c r="B33" s="1" t="s">
        <v>3</v>
      </c>
      <c r="C33" s="1" t="s">
        <v>3</v>
      </c>
      <c r="D33" s="1" t="s">
        <v>3</v>
      </c>
    </row>
    <row r="34" spans="1:4" x14ac:dyDescent="0.25">
      <c r="A34" s="1" t="s">
        <v>33</v>
      </c>
      <c r="B34" s="1" t="s">
        <v>3</v>
      </c>
      <c r="C34" s="1" t="s">
        <v>3</v>
      </c>
      <c r="D34" s="10">
        <f>D31+D32</f>
      </c>
    </row>
    <row r="35" spans="1:4" x14ac:dyDescent="0.25">
      <c r="A35" s="1" t="s">
        <v>3</v>
      </c>
      <c r="B35" s="1" t="s">
        <v>3</v>
      </c>
      <c r="C35" s="1" t="s">
        <v>3</v>
      </c>
      <c r="D35" s="1" t="s">
        <v>3</v>
      </c>
    </row>
    <row r="36" spans="1:4" x14ac:dyDescent="0.25">
      <c r="A36" s="1" t="s">
        <v>34</v>
      </c>
      <c r="B36" s="1" t="s">
        <v>3</v>
      </c>
      <c r="C36" s="1" t="s">
        <v>3</v>
      </c>
      <c r="D36" s="1">
        <v>0</v>
      </c>
    </row>
    <row r="37" spans="1:4" x14ac:dyDescent="0.25">
      <c r="A37" s="1" t="s">
        <v>35</v>
      </c>
      <c r="B37" s="1" t="s">
        <v>3</v>
      </c>
      <c r="C37" s="1" t="s">
        <v>3</v>
      </c>
      <c r="D37" s="11">
        <f>D36/D18</f>
      </c>
    </row>
    <row r="38" spans="1:4" x14ac:dyDescent="0.25">
      <c r="A38" s="1" t="s">
        <v>3</v>
      </c>
      <c r="B38" s="1" t="s">
        <v>3</v>
      </c>
      <c r="C38" s="1" t="s">
        <v>3</v>
      </c>
      <c r="D38" s="1" t="s">
        <v>3</v>
      </c>
    </row>
    <row r="39" spans="1:4" x14ac:dyDescent="0.25">
      <c r="A39" s="1" t="s">
        <v>36</v>
      </c>
      <c r="B39" s="1" t="s">
        <v>3</v>
      </c>
      <c r="C39" s="9">
        <v>840.19</v>
      </c>
      <c r="D39" s="1" t="s">
        <v>3</v>
      </c>
    </row>
    <row r="40" spans="1:4" x14ac:dyDescent="0.25">
      <c r="A40" s="1" t="s">
        <v>37</v>
      </c>
      <c r="B40" s="1" t="s">
        <v>3</v>
      </c>
      <c r="C40" s="7">
        <v>0.85</v>
      </c>
      <c r="D40" s="1">
        <f>C39*C40</f>
      </c>
    </row>
    <row r="41" spans="1:4" x14ac:dyDescent="0.25">
      <c r="A41" s="1" t="s">
        <v>3</v>
      </c>
      <c r="B41" s="1" t="s">
        <v>3</v>
      </c>
      <c r="C41" s="1" t="s">
        <v>3</v>
      </c>
      <c r="D41" s="1" t="s">
        <v>3</v>
      </c>
    </row>
    <row r="42" spans="1:4" x14ac:dyDescent="0.25">
      <c r="A42" s="1" t="s">
        <v>38</v>
      </c>
      <c r="B42" s="1" t="s">
        <v>3</v>
      </c>
      <c r="C42" s="1" t="s">
        <v>3</v>
      </c>
      <c r="D42" s="10">
        <f>D36*D18</f>
      </c>
    </row>
    <row r="43" spans="1:4" x14ac:dyDescent="0.25">
      <c r="A43" s="1" t="s">
        <v>39</v>
      </c>
      <c r="B43" s="1" t="s">
        <v>3</v>
      </c>
      <c r="C43" s="1" t="s">
        <v>3</v>
      </c>
      <c r="D43" s="10">
        <f>D40*D23</f>
      </c>
    </row>
    <row r="44" spans="1:4" x14ac:dyDescent="0.25">
      <c r="A44" s="1" t="s">
        <v>40</v>
      </c>
      <c r="B44" s="1" t="s">
        <v>3</v>
      </c>
      <c r="C44" s="1" t="s">
        <v>3</v>
      </c>
      <c r="D44" s="10">
        <f>D42-D43</f>
      </c>
    </row>
    <row r="45" spans="1:4" x14ac:dyDescent="0.25">
      <c r="A45" s="1" t="s">
        <v>3</v>
      </c>
      <c r="B45" s="1" t="s">
        <v>3</v>
      </c>
      <c r="C45" s="1" t="s">
        <v>3</v>
      </c>
      <c r="D45" s="1" t="s">
        <v>3</v>
      </c>
    </row>
    <row r="46" spans="1:4" x14ac:dyDescent="0.25">
      <c r="A46" s="5" t="s">
        <v>41</v>
      </c>
      <c r="B46" s="1"/>
      <c r="C46" s="1"/>
      <c r="D46" s="1"/>
    </row>
    <row r="47" spans="1:4" x14ac:dyDescent="0.25">
      <c r="A47" s="1" t="s">
        <v>42</v>
      </c>
      <c r="B47" s="1"/>
      <c r="C47" s="5" t="s">
        <v>43</v>
      </c>
      <c r="D47" s="1">
        <v>-30</v>
      </c>
    </row>
    <row r="48" spans="1:4" x14ac:dyDescent="0.25">
      <c r="A48" s="1" t="s">
        <v>44</v>
      </c>
      <c r="B48" s="1"/>
      <c r="C48" s="5" t="s">
        <v>43</v>
      </c>
      <c r="D48" s="1">
        <v>30</v>
      </c>
    </row>
    <row r="49" spans="1:4" x14ac:dyDescent="0.25">
      <c r="A49" s="1" t="s">
        <v>45</v>
      </c>
      <c r="B49" s="1"/>
      <c r="C49" s="5" t="s">
        <v>43</v>
      </c>
      <c r="D49" s="1">
        <v>45</v>
      </c>
    </row>
    <row r="50" spans="1:4" x14ac:dyDescent="0.25">
      <c r="A50" s="1" t="s">
        <v>46</v>
      </c>
      <c r="B50" s="1"/>
      <c r="C50" s="5" t="s">
        <v>43</v>
      </c>
      <c r="D50" s="1">
        <f>SUM(D47:D49)</f>
      </c>
    </row>
    <row r="51" spans="1:4" x14ac:dyDescent="0.25">
      <c r="A51" s="1" t="s">
        <v>47</v>
      </c>
      <c r="B51" s="1">
        <v>0.1</v>
      </c>
      <c r="C51" s="1"/>
      <c r="D51" s="7">
        <f>B51</f>
      </c>
    </row>
    <row r="52" spans="1:4" x14ac:dyDescent="0.25">
      <c r="A52" s="1" t="s">
        <v>48</v>
      </c>
      <c r="B52" s="1"/>
      <c r="C52" s="1"/>
      <c r="D52" s="12">
        <f>D51/365*D50</f>
      </c>
    </row>
    <row r="53" spans="1:4" x14ac:dyDescent="0.25">
      <c r="A53" s="1" t="s">
        <v>49</v>
      </c>
      <c r="B53" s="1"/>
      <c r="C53" s="1"/>
      <c r="D53" s="10">
        <f>D44*D52</f>
      </c>
    </row>
    <row r="54" spans="1:4" x14ac:dyDescent="0.25">
      <c r="A54" s="1" t="s">
        <v>50</v>
      </c>
      <c r="B54" s="1">
        <v>0.1</v>
      </c>
      <c r="C54" s="1"/>
      <c r="D54" s="12">
        <v>0.004109589041095891</v>
      </c>
    </row>
    <row r="55" spans="1:4" x14ac:dyDescent="0.25">
      <c r="A55" s="1" t="s">
        <v>3</v>
      </c>
      <c r="B55" s="1" t="s">
        <v>3</v>
      </c>
      <c r="C55" s="1" t="s">
        <v>3</v>
      </c>
      <c r="D55" s="10">
        <f>D44*D54</f>
      </c>
    </row>
    <row r="56" spans="1:4" x14ac:dyDescent="0.25">
      <c r="A56" s="5" t="s">
        <v>51</v>
      </c>
      <c r="B56" s="1"/>
      <c r="C56" s="1"/>
      <c r="D56" s="9">
        <f>D53+D44+D55</f>
      </c>
    </row>
    <row r="57" spans="1:4" x14ac:dyDescent="0.25">
      <c r="A57" s="1" t="s">
        <v>3</v>
      </c>
      <c r="B57" s="1" t="s">
        <v>3</v>
      </c>
      <c r="C57" s="1" t="s">
        <v>3</v>
      </c>
      <c r="D57" s="1" t="s">
        <v>3</v>
      </c>
    </row>
    <row r="58" spans="1:4" x14ac:dyDescent="0.25">
      <c r="A58" s="1" t="s">
        <v>3</v>
      </c>
      <c r="B58" s="1" t="s">
        <v>3</v>
      </c>
      <c r="C58" s="1" t="s">
        <v>3</v>
      </c>
      <c r="D58" s="5" t="s">
        <v>52</v>
      </c>
    </row>
    <row r="59" spans="1:4" x14ac:dyDescent="0.25">
      <c r="A59" s="1" t="s">
        <v>53</v>
      </c>
      <c r="B59" s="1" t="s">
        <v>3</v>
      </c>
      <c r="C59" s="1" t="s">
        <v>3</v>
      </c>
      <c r="D59" s="11">
        <v>10</v>
      </c>
    </row>
    <row r="60" spans="1:4" x14ac:dyDescent="0.25">
      <c r="A60" s="1" t="s">
        <v>3</v>
      </c>
      <c r="B60" s="1" t="s">
        <v>3</v>
      </c>
      <c r="C60" s="1" t="s">
        <v>3</v>
      </c>
      <c r="D60" s="1" t="s">
        <v>3</v>
      </c>
    </row>
    <row r="61" spans="1:4" x14ac:dyDescent="0.25">
      <c r="A61" s="5" t="s">
        <v>54</v>
      </c>
      <c r="B61" s="1" t="s">
        <v>3</v>
      </c>
      <c r="C61" s="1" t="s">
        <v>3</v>
      </c>
      <c r="D61" s="11">
        <f>SUM(D59:D59)</f>
      </c>
    </row>
    <row r="62" spans="1:4" x14ac:dyDescent="0.25">
      <c r="A62" s="1" t="s">
        <v>55</v>
      </c>
      <c r="B62" s="1" t="s">
        <v>3</v>
      </c>
      <c r="C62" s="1">
        <f>C17</f>
      </c>
      <c r="D62" s="10">
        <f>C62*D61</f>
      </c>
    </row>
    <row r="63" spans="1:4" x14ac:dyDescent="0.25">
      <c r="A63" s="1" t="s">
        <v>56</v>
      </c>
      <c r="B63" s="1" t="s">
        <v>3</v>
      </c>
      <c r="C63" s="7">
        <v>0.15</v>
      </c>
      <c r="D63" s="10">
        <f>D61*C63</f>
      </c>
    </row>
    <row r="64" spans="1:4" x14ac:dyDescent="0.25">
      <c r="A64" s="1" t="s">
        <v>57</v>
      </c>
      <c r="B64" s="1" t="s">
        <v>3</v>
      </c>
      <c r="C64" s="1" t="s">
        <v>3</v>
      </c>
      <c r="D64" s="7">
        <v>0.2</v>
      </c>
    </row>
    <row r="65" spans="1:4" x14ac:dyDescent="0.25">
      <c r="A65" s="1" t="s">
        <v>58</v>
      </c>
      <c r="B65" s="1" t="s">
        <v>3</v>
      </c>
      <c r="C65" s="1" t="s">
        <v>3</v>
      </c>
      <c r="D65" s="7">
        <v>0.2</v>
      </c>
    </row>
    <row r="66" spans="1:4" x14ac:dyDescent="0.25">
      <c r="A66" s="1" t="s">
        <v>59</v>
      </c>
      <c r="B66" s="1" t="s">
        <v>3</v>
      </c>
      <c r="C66" s="11">
        <v>5</v>
      </c>
      <c r="D66" s="10">
        <f>C66*D20</f>
      </c>
    </row>
    <row r="67" spans="1:4" x14ac:dyDescent="0.25">
      <c r="A67" s="5" t="s">
        <v>60</v>
      </c>
      <c r="B67" s="1" t="s">
        <v>3</v>
      </c>
      <c r="C67" s="1" t="s">
        <v>3</v>
      </c>
      <c r="D67" s="10">
        <f>SUM(D62:D66)</f>
      </c>
    </row>
    <row r="68" spans="1:4" x14ac:dyDescent="0.25">
      <c r="A68" s="1" t="s">
        <v>61</v>
      </c>
      <c r="B68" s="1" t="s">
        <v>3</v>
      </c>
      <c r="C68" s="11">
        <v>70</v>
      </c>
      <c r="D68" s="6">
        <v>0.8263987200000003</v>
      </c>
    </row>
    <row r="69" spans="1:4" x14ac:dyDescent="0.25">
      <c r="A69" s="1" t="s">
        <v>62</v>
      </c>
      <c r="B69" s="1" t="s">
        <v>3</v>
      </c>
      <c r="C69" s="1" t="s">
        <v>3</v>
      </c>
      <c r="D69" s="10">
        <f>D68*C68</f>
      </c>
    </row>
    <row r="70" spans="1:4" x14ac:dyDescent="0.25">
      <c r="A70" s="5" t="s">
        <v>63</v>
      </c>
      <c r="B70" s="1" t="s">
        <v>3</v>
      </c>
      <c r="C70" s="1" t="s">
        <v>3</v>
      </c>
      <c r="D70" s="10">
        <f>D69+D67+D56</f>
      </c>
    </row>
    <row r="71" spans="1:4" x14ac:dyDescent="0.25">
      <c r="A71" s="5" t="s">
        <v>64</v>
      </c>
      <c r="B71" s="1" t="s">
        <v>3</v>
      </c>
      <c r="C71" s="1" t="s">
        <v>3</v>
      </c>
      <c r="D71" s="10">
        <f>ROUND(D70,2)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2026-03-04T12:41:08Z</dcterms:created>
  <dcterms:modified xsi:type="dcterms:W3CDTF">2026-03-04T12:41:08Z</dcterms:modified>
</cp:coreProperties>
</file>